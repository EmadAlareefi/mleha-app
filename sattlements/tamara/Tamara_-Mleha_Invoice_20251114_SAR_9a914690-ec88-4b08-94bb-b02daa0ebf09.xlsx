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2025111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<sst xmlns="http://schemas.openxmlformats.org/spreadsheetml/2006/main" uniqueCount="82">
  <si>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 xml:space="preserve">Nakhla IT Systems LLC (Tamara) CR # 1010627663, 
6628 Ath Thumamah Rd Al Sahafah Dist,
Riyadh, 13315-3412,
Saudi Arabia </t>
  </si>
  <si>
    <t>شركة نخلة لتقنية نظم المعلومات ذ.م.م (تمارا) سجل تجاري رقم 1010627663
6628 طريق الثمامة، حي الصحافة، 
مدينة الرياض 13315-3412 
المملكة العربية السعودية</t>
  </si>
  <si>
    <t>Merchant Statement</t>
  </si>
  <si>
    <t>Merchant</t>
  </si>
  <si>
    <t>شركة ثلاثيات الحديثة للتجارة</t>
  </si>
  <si>
    <t>Statement ID</t>
  </si>
  <si>
    <t>P5819783SA251115</t>
  </si>
  <si>
    <t>Store Name</t>
  </si>
  <si>
    <t xml:space="preserve"> Mleha</t>
  </si>
  <si>
    <t>Statement Date</t>
  </si>
  <si>
    <t>Saturday, November 15, 2025</t>
  </si>
  <si>
    <t>Address</t>
  </si>
  <si>
    <t>المملكة العربية السعودية</t>
  </si>
  <si>
    <t>Statement Period</t>
  </si>
  <si>
    <t>08/11/2025 - 14/11/2025</t>
  </si>
  <si>
    <t>Merchant Account Number</t>
  </si>
  <si>
    <t>SA9810000012100000492203</t>
  </si>
  <si>
    <t>Tamara Merchant ID</t>
  </si>
  <si>
    <t>9a914690-ec88-4b08-94bb-b02daa0ebf09</t>
  </si>
  <si>
    <t>Type</t>
  </si>
  <si>
    <t>Count</t>
  </si>
  <si>
    <t>Canceled Amount</t>
  </si>
  <si>
    <t>Captured Amount</t>
  </si>
  <si>
    <t>Refund Amount</t>
  </si>
  <si>
    <t>Tamara Fees</t>
  </si>
  <si>
    <t>Tamara VAT</t>
  </si>
  <si>
    <t>Payable to Merchant</t>
  </si>
  <si>
    <t>Pay By Later</t>
  </si>
  <si>
    <t>Pay Next Month</t>
  </si>
  <si>
    <t>Pay In Installment</t>
  </si>
  <si>
    <t>Pay in Full</t>
  </si>
  <si>
    <t>Settlement Fee</t>
  </si>
  <si>
    <t>Credit Total</t>
  </si>
  <si>
    <t>Transaction Date DD/MM/YYYY</t>
  </si>
  <si>
    <t>Tamara Order ID</t>
  </si>
  <si>
    <t>Merchant Order ID</t>
  </si>
  <si>
    <t>Refund Reason</t>
  </si>
  <si>
    <t>Payment Type</t>
  </si>
  <si>
    <t>Order Status</t>
  </si>
  <si>
    <t>Currency</t>
  </si>
  <si>
    <t>Order Amount</t>
  </si>
  <si>
    <t>Event</t>
  </si>
  <si>
    <t>Event Amount</t>
  </si>
  <si>
    <t>Event Date DD/MM/YYYY</t>
  </si>
  <si>
    <t>Tamara Fixed Fees</t>
  </si>
  <si>
    <t>Tamara Variable Fees %</t>
  </si>
  <si>
    <t>Tamara Variable Fees</t>
  </si>
  <si>
    <t>Total Fees</t>
  </si>
  <si>
    <t>VAT Collected by Tamara</t>
  </si>
  <si>
    <t>Total Payable to Merchant</t>
  </si>
  <si>
    <t>Installments</t>
  </si>
  <si>
    <t>08/11/2025</t>
  </si>
  <si>
    <t>2930f925-609b-4d29-b7ae-72fe1033a31a</t>
  </si>
  <si>
    <t>PAY_BY_INSTALMENTS</t>
  </si>
  <si>
    <t>fully_captured</t>
  </si>
  <si>
    <t>SAR</t>
  </si>
  <si>
    <t>Captured</t>
  </si>
  <si>
    <t>1b2bd3e4-ff0e-4275-9aa9-398e24202ba9</t>
  </si>
  <si>
    <t>07/11/2025</t>
  </si>
  <si>
    <t>1d85d138-3e3d-4f11-963e-e62c46aaa7bd</t>
  </si>
  <si>
    <t>8853e50d-4b0c-4d93-b77a-aa5f7bd8cc2b</t>
  </si>
  <si>
    <t>06/11/2025</t>
  </si>
  <si>
    <t>872d9d2c-b877-4cf9-a846-0fdb86b2f76a</t>
  </si>
  <si>
    <t>updated</t>
  </si>
  <si>
    <t>Canceled</t>
  </si>
  <si>
    <t>7511ae3e-1676-467c-a84e-bd1127f4914e</t>
  </si>
  <si>
    <t>92e111d4-6e1c-4568-8168-fd7d8aa6e39e</t>
  </si>
  <si>
    <t>27/10/2025</t>
  </si>
  <si>
    <t>4db2526e-1e60-4ca6-9564-13e55fe36f62</t>
  </si>
  <si>
    <t>Refund this order4db2526e-1e60-4ca6-9564-13e55fe36f62</t>
  </si>
  <si>
    <t>partially_refunded</t>
  </si>
  <si>
    <t>Refunded</t>
  </si>
  <si>
    <t>05/11/2025</t>
  </si>
  <si>
    <t>cb2cf93a-33db-45b6-8a0b-d74c1f5c8d33</t>
  </si>
  <si>
    <t>09/11/2025</t>
  </si>
  <si>
    <t>02/11/2025</t>
  </si>
  <si>
    <t>b50c0bc2-8b34-4fba-87ee-41f347f32426</t>
  </si>
  <si>
    <t xml:space="preserve">سبب الارجاع مقاس صغير وتم خصم قيمة الشحن 60 ريال حسب سياسة المتجر </t>
  </si>
  <si>
    <t>13/11/2025</t>
  </si>
  <si>
    <t>15/11/2025</t>
  </si>
  <si>
    <t>Fee</t>
  </si>
  <si>
    <t>Total</t>
  </si>
</sst>
</file>

<file path=xl/styles.xml><?xml version="1.0" encoding="utf-8"?>
<styleSheet xmlns="http://schemas.openxmlformats.org/spreadsheetml/2006/main" xml:space="preserve">
  <numFmts count="4">
    <numFmt numFmtId="164" formatCode="_(* #,##0.00_);_(* \(#,##0.00\);_(* &quot;-&quot;??_);_(@_)"/>
    <numFmt numFmtId="165" formatCode="_(* #,##0.00_);_(* \(#,##0.00\);_(* \-??_);_(@_)"/>
    <numFmt numFmtId="166" formatCode="[$-F800]dddd&quot;, &quot;mmmm\ dd&quot;, &quot;yyyy"/>
    <numFmt numFmtId="167" formatCode="_(* #,##0.00_);_(* \(#,##0.00\);_(* -??_);_(@_)"/>
  </numFmts>
  <fonts count="16">
    <font>
      <b val="0"/>
      <i val="0"/>
      <strike val="0"/>
      <u val="none"/>
      <sz val="14"/>
      <color rgb="FF000000"/>
      <name val="Helvetica Neue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36"/>
      <color rgb="FF000000"/>
      <name val="Space Grotesk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Helvetica Neue"/>
    </font>
    <font>
      <b val="0"/>
      <i val="0"/>
      <strike val="0"/>
      <u val="none"/>
      <sz val="18"/>
      <color rgb="FF000000"/>
      <name val="Helvetica Neue"/>
    </font>
    <font>
      <b val="0"/>
      <i val="0"/>
      <strike val="0"/>
      <u val="none"/>
      <sz val="14"/>
      <color rgb="FFFFFFFF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8"/>
      <color rgb="FFF1C232"/>
      <name val="Helvetica Neue"/>
    </font>
    <font>
      <b val="1"/>
      <i val="0"/>
      <strike val="0"/>
      <u val="none"/>
      <sz val="36"/>
      <color rgb="FFF1C232"/>
      <name val="Space Grotesk"/>
    </font>
    <font>
      <b val="0"/>
      <i val="0"/>
      <strike val="0"/>
      <u val="none"/>
      <sz val="14"/>
      <color rgb="FFFFFFFF"/>
      <name val="Times New Roman"/>
    </font>
    <font>
      <b val="0"/>
      <i val="0"/>
      <strike val="0"/>
      <u val="none"/>
      <sz val="14"/>
      <color rgb="FFFF0000"/>
      <name val="Times New Roman"/>
    </font>
    <font>
      <b val="0"/>
      <i val="0"/>
      <strike val="0"/>
      <u val="none"/>
      <sz val="14"/>
      <color rgb="FF000000"/>
      <name val="Tahoma"/>
    </font>
    <font>
      <b val="0"/>
      <i val="0"/>
      <strike val="0"/>
      <u val="none"/>
      <sz val="18"/>
      <color rgb="FFFFFFFF"/>
      <name val="Helvetica Neue"/>
    </font>
    <font>
      <b val="0"/>
      <i val="0"/>
      <strike val="0"/>
      <u val="none"/>
      <sz val="14"/>
      <color rgb="FF000000"/>
      <name val="Times New Roman"/>
    </font>
    <font>
      <b val="1"/>
      <i val="0"/>
      <strike val="0"/>
      <u val="none"/>
      <sz val="12"/>
      <color rgb="FF000000"/>
      <name val="Helvetica Neue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FFFFFF"/>
      </top>
      <bottom style="thin">
        <color rgb="FFFFFFF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000000"/>
      </top>
    </border>
    <border>
      <bottom style="double">
        <color rgb="FF000000"/>
      </bottom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/>
    </xf>
    <xf xfId="0" fontId="0" numFmtId="0" fillId="2" borderId="1" applyFont="0" applyNumberFormat="0" applyFill="1" applyBorder="1" applyAlignment="1">
      <alignment horizontal="left" vertical="top" textRotation="0" wrapText="true" shrinkToFit="false"/>
    </xf>
    <xf xfId="0" fontId="1" numFmtId="0" fillId="0" borderId="2" applyFont="1" applyNumberFormat="0" applyFill="0" applyBorder="1" applyAlignment="1">
      <alignment horizontal="left" vertical="top" textRotation="0" wrapText="false" shrinkToFit="false"/>
    </xf>
    <xf xfId="0" fontId="1" numFmtId="0" fillId="0" borderId="2" applyFont="1" applyNumberFormat="0" applyFill="0" applyBorder="1" applyAlignment="1">
      <alignment horizontal="general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top" textRotation="0" wrapText="false" shrinkToFit="false"/>
    </xf>
    <xf xfId="0" fontId="4" numFmtId="0" fillId="2" borderId="3" applyFont="1" applyNumberFormat="0" applyFill="1" applyBorder="1" applyAlignment="1">
      <alignment horizontal="general" vertical="center" textRotation="0" wrapText="false" shrinkToFit="false"/>
    </xf>
    <xf xfId="0" fontId="5" numFmtId="0" fillId="0" borderId="3" applyFont="1" applyNumberFormat="0" applyFill="0" applyBorder="1" applyAlignment="1">
      <alignment horizontal="center" vertical="center" textRotation="0" wrapText="true" shrinkToFit="false"/>
    </xf>
    <xf xfId="0" fontId="6" numFmtId="0" fillId="0" borderId="4" applyFont="1" applyNumberFormat="0" applyFill="0" applyBorder="1" applyAlignment="1">
      <alignment horizontal="center" vertical="center" textRotation="0" wrapText="true" shrinkToFit="false"/>
    </xf>
    <xf xfId="0" fontId="5" numFmtId="0" fillId="0" borderId="3" applyFont="1" applyNumberFormat="0" applyFill="0" applyBorder="1" applyAlignment="1">
      <alignment horizontal="center" vertical="center" textRotation="0" wrapText="false" shrinkToFit="false"/>
    </xf>
    <xf xfId="0" fontId="6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2" borderId="3" applyFont="1" applyNumberFormat="0" applyFill="1" applyBorder="1" applyAlignment="1">
      <alignment horizontal="general" vertical="center" textRotation="0" wrapText="true" shrinkToFit="false"/>
    </xf>
    <xf xfId="0" fontId="5" numFmtId="1" fillId="0" borderId="3" applyFont="1" applyNumberFormat="1" applyFill="0" applyBorder="1" applyAlignment="1">
      <alignment horizontal="center" vertical="center" textRotation="0" wrapText="false" shrinkToFit="false"/>
    </xf>
    <xf xfId="0" fontId="6" numFmtId="1" fillId="0" borderId="4" applyFont="1" applyNumberFormat="1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top" textRotation="0" wrapText="false" shrinkToFit="false"/>
    </xf>
    <xf xfId="0" fontId="4" numFmtId="0" fillId="4" borderId="5" applyFont="1" applyNumberFormat="0" applyFill="1" applyBorder="1" applyAlignment="1">
      <alignment horizontal="center" vertical="center" textRotation="0" wrapText="false" shrinkToFit="false"/>
    </xf>
    <xf xfId="0" fontId="5" numFmtId="0" fillId="2" borderId="6" applyFont="1" applyNumberFormat="0" applyFill="1" applyBorder="1" applyAlignment="1">
      <alignment horizontal="center" vertical="center" textRotation="0" wrapText="false" shrinkToFit="false"/>
    </xf>
    <xf xfId="0" fontId="5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8" numFmtId="0" fillId="5" borderId="0" applyFont="1" applyNumberFormat="0" applyFill="1" applyBorder="0" applyAlignment="0">
      <alignment horizontal="general" vertical="bottom" textRotation="0" wrapText="false" shrinkToFit="false"/>
    </xf>
    <xf xfId="0" fontId="9" numFmtId="0" fillId="5" borderId="0" applyFont="1" applyNumberFormat="0" applyFill="1" applyBorder="0" applyAlignment="1">
      <alignment horizontal="center" vertical="center" textRotation="0" wrapText="true" shrinkToFit="false"/>
    </xf>
    <xf xfId="0" fontId="4" numFmtId="0" fillId="4" borderId="5" applyFont="1" applyNumberFormat="0" applyFill="1" applyBorder="1" applyAlignment="1">
      <alignment horizontal="center" vertical="center" textRotation="0" wrapText="true" shrinkToFit="false"/>
    </xf>
    <xf xfId="0" fontId="5" numFmtId="164" fillId="2" borderId="3" applyFont="1" applyNumberFormat="1" applyFill="1" applyBorder="1" applyAlignment="1">
      <alignment horizontal="center" vertical="center" textRotation="0" wrapText="false" shrinkToFit="false"/>
    </xf>
    <xf xfId="0" fontId="5" numFmtId="164" fillId="2" borderId="3" applyFont="1" applyNumberFormat="1" applyFill="1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7" applyFont="1" applyNumberFormat="0" applyFill="1" applyBorder="1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general" vertical="center" textRotation="0" wrapText="false" shrinkToFit="false"/>
    </xf>
    <xf xfId="0" fontId="4" numFmtId="0" fillId="2" borderId="7" applyFont="1" applyNumberFormat="0" applyFill="1" applyBorder="1" applyAlignment="1">
      <alignment horizontal="general" vertical="center" textRotation="0" wrapText="false" shrinkToFit="false"/>
    </xf>
    <xf xfId="0" fontId="6" numFmtId="11" fillId="0" borderId="4" applyFont="1" applyNumberFormat="1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true" shrinkToFit="false"/>
    </xf>
    <xf xfId="0" fontId="4" numFmtId="0" fillId="2" borderId="7" applyFont="1" applyNumberFormat="0" applyFill="1" applyBorder="1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center" vertical="center" textRotation="0" wrapText="true" shrinkToFit="false"/>
    </xf>
    <xf xfId="0" fontId="10" numFmtId="165" fillId="0" borderId="0" applyFont="1" applyNumberFormat="1" applyFill="0" applyBorder="0" applyAlignment="1">
      <alignment horizontal="center" vertical="center" textRotation="0" wrapText="false" shrinkToFit="false"/>
    </xf>
    <xf xfId="0" fontId="11" numFmtId="165" fillId="0" borderId="0" applyFont="1" applyNumberFormat="1" applyFill="0" applyBorder="0" applyAlignment="1">
      <alignment horizontal="center" vertical="center" textRotation="0" wrapText="false" shrinkToFit="false"/>
    </xf>
    <xf xfId="0" fontId="12" numFmtId="0" fillId="2" borderId="2" applyFont="1" applyNumberFormat="0" applyFill="1" applyBorder="1" applyAlignment="1">
      <alignment horizontal="right" vertical="top" textRotation="0" wrapText="true" shrinkToFit="false"/>
    </xf>
    <xf xfId="0" fontId="1" numFmtId="0" fillId="3" borderId="0" applyFont="1" applyNumberFormat="0" applyFill="1" applyBorder="0" applyAlignment="1">
      <alignment horizontal="left" vertical="top" textRotation="0" wrapText="false" shrinkToFit="false"/>
    </xf>
    <xf xfId="0" fontId="13" numFmtId="0" fillId="0" borderId="1" applyFont="1" applyNumberFormat="0" applyFill="0" applyBorder="1" applyAlignment="1">
      <alignment horizontal="left" vertical="top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5" numFmtId="166" fillId="0" borderId="8" applyFont="1" applyNumberFormat="1" applyFill="0" applyBorder="1" applyAlignment="1">
      <alignment horizontal="center" vertical="center" textRotation="0" wrapText="false" shrinkToFit="false"/>
    </xf>
    <xf xfId="0" fontId="5" numFmtId="166" fillId="0" borderId="3" applyFont="1" applyNumberFormat="1" applyFill="0" applyBorder="1" applyAlignment="1">
      <alignment horizontal="center" vertical="center" textRotation="0" wrapText="false" shrinkToFit="false"/>
    </xf>
    <xf xfId="0" fontId="5" numFmtId="11" fillId="0" borderId="8" applyFont="1" applyNumberFormat="1" applyFill="0" applyBorder="1" applyAlignment="1">
      <alignment horizontal="center" vertical="center" textRotation="0" wrapText="false" shrinkToFit="false"/>
    </xf>
    <xf xfId="0" fontId="5" numFmtId="11" fillId="0" borderId="3" applyFont="1" applyNumberFormat="1" applyFill="0" applyBorder="1" applyAlignment="1">
      <alignment horizontal="center" vertical="center" textRotation="0" wrapText="false" shrinkToFit="false"/>
    </xf>
    <xf xfId="0" fontId="13" numFmtId="0" fillId="0" borderId="9" applyFont="1" applyNumberFormat="0" applyFill="0" applyBorder="1" applyAlignment="1">
      <alignment horizontal="left" vertical="top" textRotation="0" wrapText="false" shrinkToFit="false"/>
    </xf>
    <xf xfId="0" fontId="5" numFmtId="11" fillId="0" borderId="7" applyFont="1" applyNumberFormat="1" applyFill="0" applyBorder="1" applyAlignment="1">
      <alignment horizontal="center" vertical="center" textRotation="0" wrapText="false" shrinkToFit="false"/>
    </xf>
    <xf xfId="0" fontId="14" numFmtId="0" fillId="0" borderId="10" applyFont="1" applyNumberFormat="0" applyFill="0" applyBorder="1" applyAlignment="1">
      <alignment horizontal="left" vertical="top" textRotation="0" wrapText="false" shrinkToFit="false"/>
    </xf>
    <xf xfId="0" fontId="14" numFmtId="0" fillId="0" borderId="0" applyFont="1" applyNumberFormat="0" applyFill="0" applyBorder="0" applyAlignment="1">
      <alignment horizontal="left" vertical="top" textRotation="0" wrapText="false" shrinkToFit="false"/>
    </xf>
    <xf xfId="0" fontId="12" numFmtId="0" fillId="2" borderId="7" applyFont="1" applyNumberFormat="0" applyFill="1" applyBorder="1" applyAlignment="1">
      <alignment horizontal="right" vertical="top" textRotation="0" wrapText="true" shrinkToFit="false"/>
    </xf>
    <xf xfId="0" fontId="5" numFmtId="167" fillId="2" borderId="6" applyFont="1" applyNumberFormat="1" applyFill="1" applyBorder="1" applyAlignment="1">
      <alignment horizontal="center" vertical="center" textRotation="0" wrapText="false" shrinkToFit="false"/>
    </xf>
    <xf xfId="0" fontId="5" numFmtId="167" fillId="0" borderId="0" applyFont="1" applyNumberFormat="1" applyFill="0" applyBorder="0" applyAlignment="0">
      <alignment horizontal="general" vertical="bottom" textRotation="0" wrapText="false" shrinkToFit="false"/>
    </xf>
    <xf xfId="0" fontId="5" numFmtId="167" fillId="2" borderId="3" applyFont="1" applyNumberFormat="1" applyFill="1" applyBorder="1" applyAlignment="1">
      <alignment horizontal="center" vertical="center" textRotation="0" wrapText="false" shrinkToFit="false"/>
    </xf>
    <xf xfId="0" fontId="15" numFmtId="0" fillId="0" borderId="11" applyFont="1" applyNumberFormat="0" applyFill="0" applyBorder="1" applyAlignment="0">
      <alignment horizontal="general" vertical="bottom" textRotation="0" wrapText="false" shrinkToFit="false"/>
    </xf>
    <xf xfId="0" fontId="0" numFmtId="167" fillId="0" borderId="0" applyFont="0" applyNumberFormat="1" applyFill="0" applyBorder="0" applyAlignment="0">
      <alignment horizontal="general" vertical="bottom" textRotation="0" wrapText="false" shrinkToFit="false"/>
    </xf>
    <xf xfId="0" fontId="15" numFmtId="167" fillId="0" borderId="11" applyFont="1" applyNumberFormat="1" applyFill="0" applyBorder="1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0">
      <alignment horizontal="general" vertical="bottom" textRotation="0" wrapText="false" shrinkToFit="false"/>
    </xf>
    <xf xfId="0" fontId="15" numFmtId="10" fillId="0" borderId="11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61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257175</xdr:rowOff>
    </xdr:from>
    <xdr:ext cx="2762250" cy="4667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S41"/>
  <sheetViews>
    <sheetView tabSelected="1" workbookViewId="0" zoomScale="40" zoomScaleNormal="40" showGridLines="false" showRowColHeaders="1">
      <selection activeCell="N28" sqref="N28:N41"/>
    </sheetView>
  </sheetViews>
  <sheetFormatPr defaultRowHeight="14.4" defaultColWidth="14.201923076923" outlineLevelRow="0" outlineLevelCol="0"/>
  <cols>
    <col min="1" max="1" width="3.3942307692308" customWidth="true" style="0"/>
    <col min="2" max="2" width="45.798076923077" customWidth="true" style="0"/>
    <col min="3" max="3" width="48.201923076923" customWidth="true" style="0"/>
    <col min="4" max="4" width="33.201923076923" customWidth="true" style="0"/>
    <col min="5" max="5" width="23.201923076923" customWidth="true" style="0"/>
    <col min="6" max="6" width="20.201923076923" customWidth="true" style="0"/>
    <col min="7" max="7" width="20.798076923077" customWidth="true" style="0"/>
    <col min="8" max="8" width="18.201923076923" customWidth="true" style="0"/>
    <col min="9" max="9" width="23" customWidth="true" style="0"/>
    <col min="10" max="10" width="21.798076923077" customWidth="true" style="0"/>
    <col min="11" max="11" width="36.596153846154" customWidth="true" style="0"/>
    <col min="12" max="12" width="18.201923076923" customWidth="true" style="0"/>
    <col min="13" max="13" width="16.596153846154" customWidth="true" style="0"/>
    <col min="14" max="14" width="18.201923076923" customWidth="true" style="0"/>
    <col min="15" max="15" width="18.201923076923" customWidth="true" style="0"/>
    <col min="16" max="16" width="18.201923076923" customWidth="true" style="0"/>
    <col min="17" max="17" width="16.394230769231" customWidth="true" style="0"/>
  </cols>
  <sheetData>
    <row r="1" spans="1:19" customHeight="1" ht="29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9" customHeight="1" ht="3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9" customHeight="1" ht="76.25">
      <c r="A3" s="1"/>
      <c r="B3" s="2" t="s">
        <v>0</v>
      </c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37" t="s">
        <v>1</v>
      </c>
      <c r="O3" s="37"/>
      <c r="P3" s="37"/>
      <c r="Q3" s="49"/>
    </row>
    <row r="4" spans="1:19" customHeight="1" ht="13.5">
      <c r="A4" s="1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9" customHeight="1" ht="39.75">
      <c r="A5" s="1"/>
      <c r="B5" s="6" t="s">
        <v>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9" customHeight="1" ht="4.75">
      <c r="A6" s="1"/>
      <c r="B6" s="7"/>
      <c r="C6" s="7"/>
      <c r="D6" s="7"/>
      <c r="E6" s="21"/>
      <c r="F6" s="22"/>
      <c r="G6" s="21"/>
      <c r="H6" s="22"/>
      <c r="I6" s="22"/>
      <c r="J6" s="22"/>
      <c r="K6" s="22"/>
      <c r="L6" s="22"/>
      <c r="M6" s="22"/>
      <c r="N6" s="22"/>
      <c r="O6" s="38"/>
      <c r="P6" s="38"/>
      <c r="Q6" s="38"/>
    </row>
    <row r="7" spans="1:19" customHeight="1" ht="43.75">
      <c r="A7" s="1"/>
      <c r="B7" s="8" t="s">
        <v>3</v>
      </c>
      <c r="C7" s="9" t="s">
        <v>4</v>
      </c>
      <c r="D7" s="10"/>
      <c r="E7" s="10"/>
      <c r="F7" s="10"/>
      <c r="G7" s="10"/>
      <c r="H7" s="10"/>
      <c r="I7" s="26"/>
      <c r="J7" s="12"/>
      <c r="K7" s="27" t="s">
        <v>5</v>
      </c>
      <c r="L7" s="28"/>
      <c r="M7" s="39"/>
      <c r="N7" s="40" t="s">
        <v>6</v>
      </c>
      <c r="O7" s="11"/>
      <c r="P7" s="11"/>
      <c r="Q7" s="11"/>
    </row>
    <row r="8" spans="1:19" customHeight="1" ht="43.75">
      <c r="A8" s="1"/>
      <c r="B8" s="8" t="s">
        <v>7</v>
      </c>
      <c r="C8" s="11" t="s">
        <v>8</v>
      </c>
      <c r="D8" s="12"/>
      <c r="E8" s="12"/>
      <c r="F8" s="12"/>
      <c r="G8" s="12"/>
      <c r="H8" s="12"/>
      <c r="I8" s="1"/>
      <c r="J8" s="12"/>
      <c r="K8" s="27" t="s">
        <v>9</v>
      </c>
      <c r="L8" s="28"/>
      <c r="M8" s="39"/>
      <c r="N8" s="41" t="s">
        <v>10</v>
      </c>
      <c r="O8" s="42"/>
      <c r="P8" s="42"/>
      <c r="Q8" s="42"/>
    </row>
    <row r="9" spans="1:19" customHeight="1" ht="43.75">
      <c r="A9" s="1"/>
      <c r="B9" s="8" t="s">
        <v>11</v>
      </c>
      <c r="C9" s="11" t="s">
        <v>12</v>
      </c>
      <c r="D9" s="12"/>
      <c r="E9" s="12"/>
      <c r="F9" s="12"/>
      <c r="G9" s="12"/>
      <c r="H9" s="12"/>
      <c r="I9" s="1"/>
      <c r="J9" s="12"/>
      <c r="K9" s="29" t="s">
        <v>13</v>
      </c>
      <c r="L9" s="30"/>
      <c r="M9" s="39"/>
      <c r="N9" s="43" t="s">
        <v>14</v>
      </c>
      <c r="O9" s="44"/>
      <c r="P9" s="44"/>
      <c r="Q9" s="44"/>
    </row>
    <row r="10" spans="1:19" customHeight="1" ht="43.75">
      <c r="A10" s="1"/>
      <c r="B10" s="13" t="s">
        <v>15</v>
      </c>
      <c r="C10" s="14" t="s">
        <v>16</v>
      </c>
      <c r="D10" s="15"/>
      <c r="E10" s="15"/>
      <c r="F10" s="15"/>
      <c r="G10" s="15"/>
      <c r="H10" s="15"/>
      <c r="I10" s="1"/>
      <c r="J10" s="31"/>
      <c r="K10" s="32" t="s">
        <v>17</v>
      </c>
      <c r="L10" s="33"/>
      <c r="M10" s="45"/>
      <c r="N10" s="46" t="s">
        <v>18</v>
      </c>
      <c r="O10" s="44"/>
      <c r="P10" s="44"/>
      <c r="Q10" s="44"/>
    </row>
    <row r="11" spans="1:19" customHeight="1" ht="37.5">
      <c r="A11" s="1"/>
      <c r="B11" s="16"/>
      <c r="C11" s="16"/>
      <c r="D11" s="15"/>
      <c r="E11" s="15"/>
      <c r="F11" s="15"/>
      <c r="G11" s="15"/>
      <c r="H11" s="15"/>
      <c r="I11" s="1"/>
      <c r="J11" s="1"/>
      <c r="K11" s="1"/>
      <c r="L11" s="1"/>
      <c r="M11" s="47"/>
      <c r="N11" s="48"/>
      <c r="O11" s="48"/>
      <c r="P11" s="48"/>
      <c r="Q11" s="48"/>
    </row>
    <row r="12" spans="1:19" customHeight="1" ht="15.75">
      <c r="A12" s="1"/>
      <c r="B12" s="1"/>
      <c r="C12" s="1"/>
      <c r="D12" s="16"/>
      <c r="E12" s="16"/>
      <c r="F12" s="16"/>
      <c r="G12" s="16"/>
      <c r="H12" s="16"/>
      <c r="I12" s="16"/>
      <c r="J12" s="1"/>
      <c r="K12" s="1"/>
      <c r="L12" s="1"/>
      <c r="M12" s="1"/>
      <c r="N12" s="1"/>
      <c r="O12" s="1"/>
      <c r="P12" s="1"/>
      <c r="Q12" s="1"/>
    </row>
    <row r="13" spans="1:19" customHeight="1" ht="14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9" customHeight="1" ht="14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9" customHeight="1" ht="14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9" customHeight="1" ht="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9" customHeight="1" ht="64.75">
      <c r="A17" s="1"/>
      <c r="B17" s="1"/>
      <c r="C17" s="1"/>
      <c r="D17" s="17" t="s">
        <v>19</v>
      </c>
      <c r="E17" s="17" t="s">
        <v>20</v>
      </c>
      <c r="F17" s="23" t="s">
        <v>21</v>
      </c>
      <c r="G17" s="23" t="s">
        <v>22</v>
      </c>
      <c r="H17" s="23" t="s">
        <v>23</v>
      </c>
      <c r="I17" s="17" t="s">
        <v>24</v>
      </c>
      <c r="J17" s="17" t="s">
        <v>25</v>
      </c>
      <c r="K17" s="23" t="s">
        <v>26</v>
      </c>
      <c r="L17" s="34"/>
      <c r="M17" s="1"/>
      <c r="N17" s="1"/>
      <c r="O17" s="1"/>
      <c r="P17" s="1"/>
      <c r="Q17" s="1"/>
    </row>
    <row r="18" spans="1:19" customHeight="1" ht="43.75">
      <c r="A18" s="1"/>
      <c r="B18" s="1"/>
      <c r="C18" s="1"/>
      <c r="D18" s="18" t="s">
        <v>27</v>
      </c>
      <c r="E18" s="18">
        <v>0</v>
      </c>
      <c r="F18" s="50">
        <f>_xlfn.SUMIFS(K28:K38, F28:F38, "PAY_BY_LATER", J28:J38, "Canceled")</f>
        <v>0</v>
      </c>
      <c r="G18" s="50">
        <f>_xlfn.SUMIFS(K28:K38, F28:F38, "PAY_BY_LATER", J28:J38, "Captured")</f>
        <v>0</v>
      </c>
      <c r="H18" s="50">
        <f>_xlfn.SUMIFS(K28:K38, F28:F38, "PAY_BY_LATER", J28:J38, "Refunded")</f>
        <v>0</v>
      </c>
      <c r="I18" s="50">
        <f>SUMIF(F28:F38, "PAY_BY_LATER", P28:P38)</f>
        <v>0</v>
      </c>
      <c r="J18" s="50">
        <f>SUMIF(F28:F38, "PAY_BY_LATER", Q28:Q38)</f>
        <v>0</v>
      </c>
      <c r="K18" s="50">
        <f>SUMIF(F28:F38, "PAY_BY_LATER", R28:R38)</f>
        <v>0</v>
      </c>
      <c r="L18" s="35"/>
      <c r="M18" s="1"/>
      <c r="N18" s="1"/>
      <c r="O18" s="1"/>
      <c r="P18" s="1"/>
      <c r="Q18" s="1"/>
    </row>
    <row r="19" spans="1:19" customHeight="1" ht="43.75">
      <c r="A19" s="1"/>
      <c r="B19" s="1"/>
      <c r="C19" s="1"/>
      <c r="D19" s="19" t="s">
        <v>28</v>
      </c>
      <c r="E19" s="19">
        <v>0</v>
      </c>
      <c r="F19" s="51">
        <f>_xlfn.SUMIFS(K28:K38, F28:F38, "PAY_NEXT_MONTH", J28:J38, "Canceled")</f>
        <v>0</v>
      </c>
      <c r="G19" s="52">
        <f>_xlfn.SUMIFS(K28:K38, F28:F38, "PAY_NEXT_MONTH", J28:J38, "Captured")</f>
        <v>0</v>
      </c>
      <c r="H19" s="52">
        <f>_xlfn.SUMIFS(K28:K38, F28:F38, "PAY_NEXT_MONTH", J28:J38, "Refunded")</f>
        <v>0</v>
      </c>
      <c r="I19" s="52">
        <f>SUMIF(F28:F38, "PAY_NEXT_MONTH", P28:P38)</f>
        <v>0</v>
      </c>
      <c r="J19" s="52">
        <f>SUMIF(F28:F38, "PAY_NEXT_MONTH", Q28:Q38)</f>
        <v>0</v>
      </c>
      <c r="K19" s="52">
        <f>SUMIF(F28:F38, "PAY_NEXT_MONTH", R28:R38)</f>
        <v>0</v>
      </c>
      <c r="L19" s="35"/>
      <c r="M19" s="1"/>
      <c r="N19" s="1"/>
      <c r="O19" s="1"/>
      <c r="P19" s="1"/>
      <c r="Q19" s="1"/>
    </row>
    <row r="20" spans="1:19" customHeight="1" ht="43.75">
      <c r="A20" s="1"/>
      <c r="B20" s="1"/>
      <c r="C20" s="1"/>
      <c r="D20" s="19" t="s">
        <v>29</v>
      </c>
      <c r="E20" s="19">
        <v>10</v>
      </c>
      <c r="F20" s="52">
        <f>_xlfn.SUMIFS(K28:K38, F28:F38, "PAY_BY_INSTALMENTS", J28:J38, "Canceled")</f>
        <v>385</v>
      </c>
      <c r="G20" s="52">
        <f>_xlfn.SUMIFS(K28:K38, F28:F38, "PAY_BY_INSTALMENTS", J28:J38, "Captured")</f>
        <v>3059.98</v>
      </c>
      <c r="H20" s="52">
        <f>_xlfn.SUMIFS(K28:K38, F28:F38, "PAY_BY_INSTALMENTS", J28:J38, "Refunded")</f>
        <v>-798.01</v>
      </c>
      <c r="I20" s="52">
        <f>SUMIF(F28:F38, "PAY_BY_INSTALMENTS", P28:P38)</f>
        <v>195.31</v>
      </c>
      <c r="J20" s="52">
        <f>SUMIF(F28:F38, "PAY_BY_INSTALMENTS", Q28:Q38)</f>
        <v>29.31</v>
      </c>
      <c r="K20" s="52">
        <f>SUMIF(F28:F38, "PAY_BY_INSTALMENTS", R28:R38)</f>
        <v>2037.35</v>
      </c>
      <c r="L20" s="35"/>
      <c r="M20" s="1"/>
      <c r="N20" s="1"/>
      <c r="O20" s="1"/>
      <c r="P20" s="1"/>
      <c r="Q20" s="1"/>
    </row>
    <row r="21" spans="1:19" customHeight="1" ht="43.75">
      <c r="A21" s="1"/>
      <c r="B21" s="1"/>
      <c r="C21" s="1"/>
      <c r="D21" s="19" t="s">
        <v>30</v>
      </c>
      <c r="E21" s="19">
        <v>0</v>
      </c>
      <c r="F21" s="52">
        <f>_xlfn.SUMIFS(K28:K38, F28:F38, "Pay in Full", J28:J38, "Canceled")</f>
        <v>0</v>
      </c>
      <c r="G21" s="52">
        <f>_xlfn.SUMIFS(K28:K38, F28:F38, "Pay in Full", J28:J38, "Captured")</f>
        <v>0</v>
      </c>
      <c r="H21" s="52">
        <f>_xlfn.SUMIFS(K28:K38, F28:F38, "Pay in Full", J28:J38, "Refunded")</f>
        <v>0</v>
      </c>
      <c r="I21" s="52">
        <f>SUMIF(F28:F38, "Pay in Full", P28:P38)</f>
        <v>0</v>
      </c>
      <c r="J21" s="52">
        <f>SUMIF(F28:F38, "Pay in Full", Q28:Q38)</f>
        <v>0</v>
      </c>
      <c r="K21" s="52">
        <f>SUMIF(F28:F38, "Pay in Full", R28:R38)</f>
        <v>0</v>
      </c>
      <c r="L21" s="35"/>
      <c r="M21" s="1"/>
      <c r="N21" s="1"/>
      <c r="O21" s="1"/>
      <c r="P21" s="1"/>
      <c r="Q21" s="1"/>
    </row>
    <row r="22" spans="1:19" customHeight="1" ht="43.75">
      <c r="A22" s="1"/>
      <c r="B22" s="16"/>
      <c r="C22" s="1"/>
      <c r="D22" s="19" t="s">
        <v>31</v>
      </c>
      <c r="E22" s="19"/>
      <c r="F22" s="24"/>
      <c r="G22" s="24"/>
      <c r="H22" s="24"/>
      <c r="I22" s="24">
        <f>SUMIF(F28:F38, "Settlement Fee", P28:P38)</f>
        <v>21.74</v>
      </c>
      <c r="J22" s="24">
        <f>SUMIF(F28:F38, "Settlement Fee", Q28:Q38)</f>
        <v>3.26</v>
      </c>
      <c r="K22" s="24">
        <f>SUMIF(F28:F38, "Settlement Fee", R28:R38)</f>
        <v>-25</v>
      </c>
      <c r="L22" s="35"/>
      <c r="M22" s="1"/>
      <c r="N22" s="1"/>
      <c r="O22" s="1"/>
      <c r="P22" s="1"/>
      <c r="Q22" s="1"/>
    </row>
    <row r="23" spans="1:19" customHeight="1" ht="43.75">
      <c r="A23" s="1"/>
      <c r="B23" s="1"/>
      <c r="C23" s="1"/>
      <c r="D23" s="20" t="s">
        <v>32</v>
      </c>
      <c r="E23" s="19">
        <f>SUM(E18:E21)</f>
        <v>10</v>
      </c>
      <c r="F23" s="25">
        <f>SUM(F18:F21)</f>
        <v>385</v>
      </c>
      <c r="G23" s="25">
        <f>SUM(G18:G21)</f>
        <v>3059.98</v>
      </c>
      <c r="H23" s="25">
        <f>SUM(H18:H21)</f>
        <v>-798.01</v>
      </c>
      <c r="I23" s="24">
        <f>SUM(I18:I22)</f>
        <v>217.05</v>
      </c>
      <c r="J23" s="24">
        <f>SUM(J18:J22)</f>
        <v>32.57</v>
      </c>
      <c r="K23" s="24">
        <f>SUM(K18:K22)</f>
        <v>2012.35</v>
      </c>
      <c r="L23" s="36"/>
      <c r="M23" s="1"/>
      <c r="N23" s="1"/>
      <c r="O23" s="1"/>
      <c r="P23" s="1"/>
      <c r="Q23" s="1"/>
    </row>
    <row r="24" spans="1:19" customHeight="1" ht="18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7" spans="1:19" customHeight="1" ht="45">
      <c r="B27" s="23" t="s">
        <v>33</v>
      </c>
      <c r="C27" s="23" t="s">
        <v>34</v>
      </c>
      <c r="D27" s="23" t="s">
        <v>35</v>
      </c>
      <c r="E27" s="23" t="s">
        <v>36</v>
      </c>
      <c r="F27" s="23" t="s">
        <v>37</v>
      </c>
      <c r="G27" s="23" t="s">
        <v>38</v>
      </c>
      <c r="H27" s="23" t="s">
        <v>39</v>
      </c>
      <c r="I27" s="23" t="s">
        <v>40</v>
      </c>
      <c r="J27" s="23" t="s">
        <v>41</v>
      </c>
      <c r="K27" s="23" t="s">
        <v>42</v>
      </c>
      <c r="L27" s="23" t="s">
        <v>43</v>
      </c>
      <c r="M27" s="23" t="s">
        <v>44</v>
      </c>
      <c r="N27" s="23" t="s">
        <v>45</v>
      </c>
      <c r="O27" s="23" t="s">
        <v>46</v>
      </c>
      <c r="P27" s="23" t="s">
        <v>47</v>
      </c>
      <c r="Q27" s="23" t="s">
        <v>48</v>
      </c>
      <c r="R27" s="23" t="s">
        <v>49</v>
      </c>
      <c r="S27" s="23" t="s">
        <v>50</v>
      </c>
    </row>
    <row r="28" spans="1:19">
      <c r="B28" t="s">
        <v>51</v>
      </c>
      <c r="C28" t="s">
        <v>52</v>
      </c>
      <c r="D28">
        <v>217673783</v>
      </c>
      <c r="F28" t="s">
        <v>53</v>
      </c>
      <c r="G28" t="s">
        <v>54</v>
      </c>
      <c r="H28" t="s">
        <v>55</v>
      </c>
      <c r="I28" s="54">
        <v>405.26</v>
      </c>
      <c r="J28" t="s">
        <v>56</v>
      </c>
      <c r="K28" s="54">
        <v>405.26</v>
      </c>
      <c r="L28" t="s">
        <v>51</v>
      </c>
      <c r="M28" s="54">
        <v>1.5</v>
      </c>
      <c r="N28" s="56">
        <v>0.0599</v>
      </c>
      <c r="O28" s="54">
        <v>24.28</v>
      </c>
      <c r="P28" s="54">
        <v>25.78</v>
      </c>
      <c r="Q28" s="54">
        <v>3.87</v>
      </c>
      <c r="R28" s="54">
        <v>375.61</v>
      </c>
      <c r="S28">
        <v>4</v>
      </c>
    </row>
    <row r="29" spans="1:19">
      <c r="B29" t="s">
        <v>51</v>
      </c>
      <c r="C29" t="s">
        <v>57</v>
      </c>
      <c r="D29">
        <v>217654550</v>
      </c>
      <c r="F29" t="s">
        <v>53</v>
      </c>
      <c r="G29" t="s">
        <v>54</v>
      </c>
      <c r="H29" t="s">
        <v>55</v>
      </c>
      <c r="I29" s="54">
        <v>460.75</v>
      </c>
      <c r="J29" t="s">
        <v>56</v>
      </c>
      <c r="K29" s="54">
        <v>460.75</v>
      </c>
      <c r="L29" t="s">
        <v>51</v>
      </c>
      <c r="M29" s="54">
        <v>1.5</v>
      </c>
      <c r="N29" s="56">
        <v>0.0599</v>
      </c>
      <c r="O29" s="54">
        <v>27.6</v>
      </c>
      <c r="P29" s="54">
        <v>29.1</v>
      </c>
      <c r="Q29" s="54">
        <v>4.37</v>
      </c>
      <c r="R29" s="54">
        <v>427.28</v>
      </c>
      <c r="S29">
        <v>4</v>
      </c>
    </row>
    <row r="30" spans="1:19">
      <c r="B30" t="s">
        <v>58</v>
      </c>
      <c r="C30" t="s">
        <v>59</v>
      </c>
      <c r="D30">
        <v>217553417</v>
      </c>
      <c r="F30" t="s">
        <v>53</v>
      </c>
      <c r="G30" t="s">
        <v>54</v>
      </c>
      <c r="H30" t="s">
        <v>55</v>
      </c>
      <c r="I30" s="54">
        <v>405.26</v>
      </c>
      <c r="J30" t="s">
        <v>56</v>
      </c>
      <c r="K30" s="54">
        <v>405.26</v>
      </c>
      <c r="L30" t="s">
        <v>51</v>
      </c>
      <c r="M30" s="54">
        <v>1.5</v>
      </c>
      <c r="N30" s="56">
        <v>0.0599</v>
      </c>
      <c r="O30" s="54">
        <v>24.28</v>
      </c>
      <c r="P30" s="54">
        <v>25.78</v>
      </c>
      <c r="Q30" s="54">
        <v>3.87</v>
      </c>
      <c r="R30" s="54">
        <v>375.61</v>
      </c>
      <c r="S30">
        <v>4</v>
      </c>
    </row>
    <row r="31" spans="1:19">
      <c r="B31" t="s">
        <v>58</v>
      </c>
      <c r="C31" t="s">
        <v>60</v>
      </c>
      <c r="D31">
        <v>217574813</v>
      </c>
      <c r="F31" t="s">
        <v>53</v>
      </c>
      <c r="G31" t="s">
        <v>54</v>
      </c>
      <c r="H31" t="s">
        <v>55</v>
      </c>
      <c r="I31" s="54">
        <v>412.46</v>
      </c>
      <c r="J31" t="s">
        <v>56</v>
      </c>
      <c r="K31" s="54">
        <v>412.46</v>
      </c>
      <c r="L31" t="s">
        <v>51</v>
      </c>
      <c r="M31" s="54">
        <v>1.5</v>
      </c>
      <c r="N31" s="56">
        <v>0.0599</v>
      </c>
      <c r="O31" s="54">
        <v>24.71</v>
      </c>
      <c r="P31" s="54">
        <v>26.21</v>
      </c>
      <c r="Q31" s="54">
        <v>3.93</v>
      </c>
      <c r="R31" s="54">
        <v>382.32</v>
      </c>
      <c r="S31">
        <v>2</v>
      </c>
    </row>
    <row r="32" spans="1:19">
      <c r="B32" t="s">
        <v>61</v>
      </c>
      <c r="C32" t="s">
        <v>62</v>
      </c>
      <c r="D32">
        <v>217460940</v>
      </c>
      <c r="F32" t="s">
        <v>53</v>
      </c>
      <c r="G32" t="s">
        <v>63</v>
      </c>
      <c r="H32" t="s">
        <v>55</v>
      </c>
      <c r="I32" s="54">
        <v>445.0</v>
      </c>
      <c r="J32" t="s">
        <v>64</v>
      </c>
      <c r="K32" s="54">
        <v>385.0</v>
      </c>
      <c r="L32" t="s">
        <v>51</v>
      </c>
      <c r="M32" s="54">
        <v>1.5</v>
      </c>
      <c r="N32" s="56"/>
      <c r="O32" s="54"/>
      <c r="P32" s="54">
        <v>1.5</v>
      </c>
      <c r="Q32" s="54">
        <v>0.23</v>
      </c>
      <c r="R32" s="54">
        <v>-1.73</v>
      </c>
      <c r="S32">
        <v>4</v>
      </c>
    </row>
    <row r="33" spans="1:19">
      <c r="B33" t="s">
        <v>58</v>
      </c>
      <c r="C33" t="s">
        <v>65</v>
      </c>
      <c r="D33">
        <v>217505235</v>
      </c>
      <c r="F33" t="s">
        <v>53</v>
      </c>
      <c r="G33" t="s">
        <v>54</v>
      </c>
      <c r="H33" t="s">
        <v>55</v>
      </c>
      <c r="I33" s="54">
        <v>420.0</v>
      </c>
      <c r="J33" t="s">
        <v>56</v>
      </c>
      <c r="K33" s="54">
        <v>420.0</v>
      </c>
      <c r="L33" t="s">
        <v>51</v>
      </c>
      <c r="M33" s="54">
        <v>1.5</v>
      </c>
      <c r="N33" s="56">
        <v>0.0599</v>
      </c>
      <c r="O33" s="54">
        <v>25.16</v>
      </c>
      <c r="P33" s="54">
        <v>26.66</v>
      </c>
      <c r="Q33" s="54">
        <v>4.0</v>
      </c>
      <c r="R33" s="54">
        <v>389.34</v>
      </c>
      <c r="S33">
        <v>4</v>
      </c>
    </row>
    <row r="34" spans="1:19">
      <c r="B34" t="s">
        <v>61</v>
      </c>
      <c r="C34" t="s">
        <v>66</v>
      </c>
      <c r="D34">
        <v>217452188</v>
      </c>
      <c r="F34" t="s">
        <v>53</v>
      </c>
      <c r="G34" t="s">
        <v>54</v>
      </c>
      <c r="H34" t="s">
        <v>55</v>
      </c>
      <c r="I34" s="54">
        <v>338.75</v>
      </c>
      <c r="J34" t="s">
        <v>56</v>
      </c>
      <c r="K34" s="54">
        <v>338.75</v>
      </c>
      <c r="L34" t="s">
        <v>51</v>
      </c>
      <c r="M34" s="54">
        <v>1.5</v>
      </c>
      <c r="N34" s="56">
        <v>0.0599</v>
      </c>
      <c r="O34" s="54">
        <v>20.29</v>
      </c>
      <c r="P34" s="54">
        <v>21.79</v>
      </c>
      <c r="Q34" s="54">
        <v>3.27</v>
      </c>
      <c r="R34" s="54">
        <v>313.69</v>
      </c>
      <c r="S34">
        <v>4</v>
      </c>
    </row>
    <row r="35" spans="1:19">
      <c r="B35" t="s">
        <v>67</v>
      </c>
      <c r="C35" t="s">
        <v>68</v>
      </c>
      <c r="D35">
        <v>215178646</v>
      </c>
      <c r="E35" t="s">
        <v>69</v>
      </c>
      <c r="F35" t="s">
        <v>53</v>
      </c>
      <c r="G35" t="s">
        <v>70</v>
      </c>
      <c r="H35" t="s">
        <v>55</v>
      </c>
      <c r="I35" s="54">
        <v>508.25</v>
      </c>
      <c r="J35" t="s">
        <v>71</v>
      </c>
      <c r="K35" s="54">
        <v>-448.25</v>
      </c>
      <c r="L35" t="s">
        <v>51</v>
      </c>
      <c r="M35" s="54"/>
      <c r="N35" s="56"/>
      <c r="O35" s="54"/>
      <c r="P35" s="54"/>
      <c r="Q35" s="54"/>
      <c r="R35" s="54">
        <v>-448.25</v>
      </c>
      <c r="S35">
        <v>3</v>
      </c>
    </row>
    <row r="36" spans="1:19">
      <c r="B36" t="s">
        <v>72</v>
      </c>
      <c r="C36" t="s">
        <v>73</v>
      </c>
      <c r="D36">
        <v>217152394</v>
      </c>
      <c r="F36" t="s">
        <v>53</v>
      </c>
      <c r="G36" t="s">
        <v>54</v>
      </c>
      <c r="H36" t="s">
        <v>55</v>
      </c>
      <c r="I36" s="54">
        <v>617.5</v>
      </c>
      <c r="J36" t="s">
        <v>56</v>
      </c>
      <c r="K36" s="54">
        <v>617.5</v>
      </c>
      <c r="L36" t="s">
        <v>74</v>
      </c>
      <c r="M36" s="54">
        <v>1.5</v>
      </c>
      <c r="N36" s="56">
        <v>0.0599</v>
      </c>
      <c r="O36" s="54">
        <v>36.99</v>
      </c>
      <c r="P36" s="54">
        <v>38.49</v>
      </c>
      <c r="Q36" s="54">
        <v>5.77</v>
      </c>
      <c r="R36" s="54">
        <v>573.24</v>
      </c>
      <c r="S36">
        <v>3</v>
      </c>
    </row>
    <row r="37" spans="1:19">
      <c r="B37" t="s">
        <v>75</v>
      </c>
      <c r="C37" t="s">
        <v>76</v>
      </c>
      <c r="D37">
        <v>216550027</v>
      </c>
      <c r="E37" t="s">
        <v>77</v>
      </c>
      <c r="F37" t="s">
        <v>53</v>
      </c>
      <c r="G37" t="s">
        <v>70</v>
      </c>
      <c r="H37" t="s">
        <v>55</v>
      </c>
      <c r="I37" s="54">
        <v>409.76</v>
      </c>
      <c r="J37" t="s">
        <v>71</v>
      </c>
      <c r="K37" s="54">
        <v>-349.76</v>
      </c>
      <c r="L37" t="s">
        <v>78</v>
      </c>
      <c r="M37" s="54"/>
      <c r="N37" s="56"/>
      <c r="O37" s="54"/>
      <c r="P37" s="54"/>
      <c r="Q37" s="54"/>
      <c r="R37" s="54">
        <v>-349.76</v>
      </c>
      <c r="S37">
        <v>4</v>
      </c>
    </row>
    <row r="38" spans="1:19">
      <c r="B38" t="s">
        <v>79</v>
      </c>
      <c r="C38" t="s">
        <v>31</v>
      </c>
      <c r="F38" t="s">
        <v>31</v>
      </c>
      <c r="H38" t="s">
        <v>55</v>
      </c>
      <c r="I38" s="54"/>
      <c r="J38" t="s">
        <v>80</v>
      </c>
      <c r="K38" s="54">
        <v>25.0</v>
      </c>
      <c r="L38" t="s">
        <v>79</v>
      </c>
      <c r="M38" s="54">
        <v>21.74</v>
      </c>
      <c r="N38" s="56"/>
      <c r="O38" s="54"/>
      <c r="P38" s="54">
        <v>21.74</v>
      </c>
      <c r="Q38" s="54">
        <v>3.26</v>
      </c>
      <c r="R38" s="54">
        <v>-25.0</v>
      </c>
    </row>
    <row r="39" spans="1:19">
      <c r="I39" s="54"/>
      <c r="K39" s="54"/>
      <c r="M39" s="54"/>
      <c r="N39" s="56"/>
      <c r="O39" s="54"/>
      <c r="P39" s="54"/>
      <c r="Q39" s="54"/>
      <c r="R39" s="54"/>
    </row>
    <row r="40" spans="1:19">
      <c r="I40" s="54"/>
      <c r="K40" s="54"/>
      <c r="M40" s="54"/>
      <c r="N40" s="56"/>
      <c r="O40" s="54"/>
      <c r="P40" s="54"/>
      <c r="Q40" s="54"/>
      <c r="R40" s="54"/>
    </row>
    <row r="41" spans="1:19">
      <c r="B41" s="53" t="s">
        <v>81</v>
      </c>
      <c r="C41" s="53"/>
      <c r="D41" s="53"/>
      <c r="E41" s="53"/>
      <c r="F41" s="53"/>
      <c r="G41" s="53"/>
      <c r="H41" s="53"/>
      <c r="I41" s="55"/>
      <c r="J41" s="53"/>
      <c r="K41" s="55"/>
      <c r="L41" s="53"/>
      <c r="M41" s="55">
        <f>SUM(M28:M38)</f>
        <v>33.74</v>
      </c>
      <c r="N41" s="57"/>
      <c r="O41" s="55">
        <f>SUM(O28:O38)</f>
        <v>183.31</v>
      </c>
      <c r="P41" s="55">
        <f>SUM(P28:P38)</f>
        <v>217.05</v>
      </c>
      <c r="Q41" s="55">
        <f>SUM(Q28:Q38)</f>
        <v>32.57</v>
      </c>
      <c r="R41" s="55">
        <f>SUM(R28:R38)</f>
        <v>2012.35</v>
      </c>
      <c r="S41" s="5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C3"/>
    <mergeCell ref="D3:M3"/>
    <mergeCell ref="N3:Q3"/>
    <mergeCell ref="B5:Q5"/>
    <mergeCell ref="K7:L7"/>
    <mergeCell ref="N7:Q7"/>
    <mergeCell ref="K8:L8"/>
    <mergeCell ref="N8:Q8"/>
    <mergeCell ref="K9:L9"/>
    <mergeCell ref="N9:Q9"/>
    <mergeCell ref="K10:L10"/>
    <mergeCell ref="N10:Q10"/>
  </mergeCells>
  <printOptions gridLines="false" gridLinesSet="true"/>
  <pageMargins left="0.7" right="0.7" top="0.75" bottom="0.75" header="0" footer="0"/>
  <pageSetup paperSize="9" orientation="landscape" scale="100" fitToHeight="0" fitToWidth="1" pageOrder="downThenOver"/>
  <headerFooter differentOddEven="false" differentFirst="false" scaleWithDoc="true" alignWithMargins="true">
    <oddHeader>&amp;R Created on &amp;D &amp;T</oddHeader>
    <oddFooter>&amp;RPage &amp;P of</oddFooter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20251115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abubakar.afzal</cp:lastModifiedBy>
  <dcterms:created xsi:type="dcterms:W3CDTF">2023-05-23T17:32:48+00:00</dcterms:created>
  <dcterms:modified xsi:type="dcterms:W3CDTF">2023-05-23T17:32:55+00:00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1033-5.2.0.7913</vt:lpwstr>
  </property>
</Properties>
</file>